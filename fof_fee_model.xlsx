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>
    <definedName name="_xlnm.Print_Area" localSheetId="0">'Model'!$A$1:$I$47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0&quot;x&quot;"/>
    <numFmt numFmtId="168" formatCode="0.00&quot;x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i val="1"/>
      <color rgb="00404040"/>
      <sz val="11"/>
    </font>
    <font>
      <name val="Calibri"/>
      <i val="1"/>
      <color rgb="00808080"/>
      <sz val="9"/>
    </font>
    <font>
      <name val="Calibri"/>
      <b val="1"/>
      <color rgb="001F3864"/>
      <sz val="10"/>
    </font>
    <font>
      <name val="Calibri"/>
      <color rgb="00000000"/>
      <sz val="11"/>
    </font>
    <font>
      <name val="Calibri"/>
      <b val="1"/>
      <color rgb="009C0006"/>
      <sz val="11"/>
    </font>
    <font>
      <name val="Calibri"/>
      <i val="1"/>
      <color rgb="00404040"/>
      <sz val="10"/>
    </font>
    <font>
      <name val="Calibri"/>
      <color rgb="00404040"/>
      <sz val="9"/>
    </font>
    <font>
      <name val="Calibri"/>
      <i val="1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AE3F3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166" fontId="4" fillId="4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B47"/>
  <sheetViews>
    <sheetView showGridLines="0" workbookViewId="0">
      <pane xSplit="1" ySplit="30" topLeftCell="B3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26" customWidth="1" min="9" max="9"/>
    <col hidden="1" width="14" customWidth="1" min="10" max="10"/>
    <col hidden="1" width="14" customWidth="1" min="11" max="11"/>
    <col hidden="1" width="14" customWidth="1" min="12" max="12"/>
    <col hidden="1" width="14" customWidth="1" min="13" max="13"/>
    <col hidden="1" width="14" customWidth="1" min="14" max="14"/>
    <col hidden="1" width="14" customWidth="1" min="15" max="15"/>
    <col hidden="1" width="14" customWidth="1" min="16" max="16"/>
    <col hidden="1" width="14" customWidth="1" min="17" max="17"/>
    <col hidden="1" width="14" customWidth="1" min="18" max="18"/>
    <col hidden="1" width="14" customWidth="1" min="19" max="19"/>
    <col hidden="1" width="14" customWidth="1" min="20" max="20"/>
    <col hidden="1" width="14" customWidth="1" min="21" max="21"/>
    <col hidden="1" width="14" customWidth="1" min="22" max="22"/>
    <col hidden="1" width="14" customWidth="1" min="23" max="23"/>
    <col hidden="1" width="14" customWidth="1" min="24" max="24"/>
    <col hidden="1" width="14" customWidth="1" min="25" max="25"/>
    <col hidden="1" width="14" customWidth="1" min="26" max="26"/>
    <col hidden="1" width="14" customWidth="1" min="27" max="27"/>
    <col hidden="1" width="14" customWidth="1" min="28" max="28"/>
  </cols>
  <sheetData>
    <row r="1" ht="10" customHeight="1"/>
    <row r="2" ht="32" customHeight="1">
      <c r="B2" s="1" t="inlineStr">
        <is>
          <t>FUND OF FUNDS  —  FEE STRUCTURE MODEL</t>
        </is>
      </c>
    </row>
    <row r="3" ht="10" customHeight="1"/>
    <row r="4" ht="16" customHeight="1">
      <c r="B4" s="2" t="inlineStr">
        <is>
          <t xml:space="preserve">  FUND PARAMETERS</t>
        </is>
      </c>
    </row>
    <row r="5" ht="18" customHeight="1">
      <c r="B5" s="3" t="inlineStr">
        <is>
          <t>Fund Size ($M)</t>
        </is>
      </c>
      <c r="C5" s="4" t="n">
        <v>30</v>
      </c>
    </row>
    <row r="6" ht="18" customHeight="1">
      <c r="B6" s="3" t="inlineStr">
        <is>
          <t>Fund Life (years)</t>
        </is>
      </c>
      <c r="C6" s="5" t="n">
        <v>10</v>
      </c>
    </row>
    <row r="7" ht="8" customHeight="1"/>
    <row r="8" ht="16" customHeight="1">
      <c r="B8" s="2" t="inlineStr">
        <is>
          <t xml:space="preserve">  MANAGEMENT FEE</t>
        </is>
      </c>
    </row>
    <row r="9" ht="18" customHeight="1">
      <c r="B9" s="3" t="inlineStr">
        <is>
          <t>Rate (% p.a.)</t>
        </is>
      </c>
      <c r="C9" s="6" t="n">
        <v>0.015</v>
      </c>
    </row>
    <row r="10" ht="18" customHeight="1">
      <c r="B10" s="3" t="inlineStr">
        <is>
          <t>Total Mgmt Fees ($M)</t>
        </is>
      </c>
      <c r="C10" s="7">
        <f>C5*C9*C6</f>
        <v/>
      </c>
    </row>
    <row r="11" ht="18" customHeight="1">
      <c r="B11" s="3" t="inlineStr">
        <is>
          <t>Invested Capital ($M)</t>
        </is>
      </c>
      <c r="C11" s="7">
        <f>C5-C10</f>
        <v/>
      </c>
    </row>
    <row r="12" ht="8" customHeight="1"/>
    <row r="13" ht="16" customHeight="1">
      <c r="B13" s="2" t="inlineStr">
        <is>
          <t xml:space="preserve">  PLACEMENT FEE  (paid to underlying managers)</t>
        </is>
      </c>
    </row>
    <row r="14" ht="18" customHeight="1">
      <c r="B14" s="3" t="inlineStr">
        <is>
          <t>Rate (% of gross portfolio profit)</t>
        </is>
      </c>
      <c r="C14" s="6" t="n">
        <v>0.1</v>
      </c>
      <c r="D14" s="8" t="inlineStr">
        <is>
          <t>← no hurdle; applied from first dollar of profit</t>
        </is>
      </c>
    </row>
    <row r="15" ht="8" customHeight="1"/>
    <row r="16" ht="16" customHeight="1">
      <c r="B16" s="2" t="inlineStr">
        <is>
          <t xml:space="preserve">  CARRY WATERFALL</t>
        </is>
      </c>
    </row>
    <row r="17" ht="16" customHeight="1">
      <c r="B17" s="9" t="inlineStr">
        <is>
          <t xml:space="preserve">  (1) Return of Capital  →  (2) Preferred Return  →  (3) Pre-DPI Split  →  (4) Catch-up  →  (5) Post Catch-up</t>
        </is>
      </c>
    </row>
    <row r="18" ht="18" customHeight="1">
      <c r="B18" s="3" t="inlineStr">
        <is>
          <t>Preferred Return Hurdle (% p.a., compound)</t>
        </is>
      </c>
      <c r="C18" s="6" t="n">
        <v>0</v>
      </c>
      <c r="D18" s="8" t="inlineStr">
        <is>
          <t>← set to 0% to disable</t>
        </is>
      </c>
    </row>
    <row r="19" ht="18" customHeight="1">
      <c r="B19" s="3" t="inlineStr">
        <is>
          <t>Pre-DPI GP Carry (%)</t>
        </is>
      </c>
      <c r="C19" s="6" t="n">
        <v>0.1</v>
      </c>
    </row>
    <row r="20" ht="18" customHeight="1">
      <c r="B20" s="3" t="inlineStr">
        <is>
          <t>DPI Threshold (x)</t>
        </is>
      </c>
      <c r="C20" s="10" t="n">
        <v>3</v>
      </c>
    </row>
    <row r="21" ht="18" customHeight="1">
      <c r="B21" s="3" t="inlineStr">
        <is>
          <t>Catch-up Target GP (%)</t>
        </is>
      </c>
      <c r="C21" s="6" t="n">
        <v>0.15</v>
      </c>
    </row>
    <row r="22" ht="18" customHeight="1">
      <c r="B22" s="3" t="inlineStr">
        <is>
          <t>Post Catch-up GP (%)</t>
        </is>
      </c>
      <c r="C22" s="6" t="n">
        <v>0.15</v>
      </c>
    </row>
    <row r="23" ht="8" customHeight="1"/>
    <row r="24" ht="16" customHeight="1">
      <c r="B24" s="2" t="inlineStr">
        <is>
          <t xml:space="preserve">  DERIVED</t>
        </is>
      </c>
    </row>
    <row r="25" ht="18" customHeight="1">
      <c r="B25" s="3" t="inlineStr">
        <is>
          <t>Preferred Return ($M)</t>
        </is>
      </c>
      <c r="C25" s="7">
        <f>C5*((1+C18)^C6-1)</f>
        <v/>
      </c>
    </row>
    <row r="26" ht="18" customHeight="1">
      <c r="B26" s="3" t="inlineStr">
        <is>
          <t>LP DPI Threshold ($M)</t>
        </is>
      </c>
      <c r="C26" s="7">
        <f>C5*C20</f>
        <v/>
      </c>
    </row>
    <row r="28" ht="10" customHeight="1"/>
    <row r="29" ht="16" customHeight="1">
      <c r="A29" s="11" t="inlineStr">
        <is>
          <t xml:space="preserve">  SCENARIO ANALYSIS  —  Gross MOIC on committed capital  (change values in column A to flex scenarios)</t>
        </is>
      </c>
    </row>
    <row r="30" ht="34" customHeight="1">
      <c r="A30" s="12" t="inlineStr">
        <is>
          <t>Gross
MOIC</t>
        </is>
      </c>
      <c r="B30" s="12" t="inlineStr">
        <is>
          <t>Gross Proceeds
($M)</t>
        </is>
      </c>
      <c r="C30" s="12" t="inlineStr">
        <is>
          <t>Net MOIC
(LP)</t>
        </is>
      </c>
      <c r="D30" s="12" t="inlineStr">
        <is>
          <t>LP Proceeds
($M)</t>
        </is>
      </c>
      <c r="E30" s="12" t="inlineStr">
        <is>
          <t>Mgmt Fee
($M)</t>
        </is>
      </c>
      <c r="F30" s="12" t="inlineStr">
        <is>
          <t>Placement
Fee ($M)</t>
        </is>
      </c>
      <c r="G30" s="12" t="inlineStr">
        <is>
          <t>GP Carry
($M)</t>
        </is>
      </c>
      <c r="H30" s="12" t="inlineStr">
        <is>
          <t>Total Fees
($M)</t>
        </is>
      </c>
      <c r="I30" s="12" t="inlineStr">
        <is>
          <t>Regime</t>
        </is>
      </c>
    </row>
    <row r="31" ht="18" customHeight="1">
      <c r="A31" s="13" t="n">
        <v>1</v>
      </c>
      <c r="B31" s="14">
        <f>$A$31*$C$5</f>
        <v/>
      </c>
      <c r="C31" s="15">
        <f>$D$31/$C$5</f>
        <v/>
      </c>
      <c r="D31" s="16">
        <f>$M$31+$O$31+$T$31+$AA$31</f>
        <v/>
      </c>
      <c r="E31" s="14">
        <f>$C$10</f>
        <v/>
      </c>
      <c r="F31" s="14">
        <f>$K$31</f>
        <v/>
      </c>
      <c r="G31" s="14">
        <f>$U$31+$Y$31+$AB$31</f>
        <v/>
      </c>
      <c r="H31" s="17">
        <f>$E31+$F31+$G$31</f>
        <v/>
      </c>
      <c r="I31" s="18">
        <f>IF($L$31&lt;$C$5,"Loss / below capital",IF($P$31&lt;=$R$31,"Pre-DPI ("&amp;TEXT((1-$C$19),"0%")&amp;"/"&amp;TEXT($C$19,"0%")&amp;")",IF($V$31&lt;$X$31,"Catch-up (in progress)","Post catch-up ("&amp;TEXT((1-$C$22),"0%")&amp;"/"&amp;TEXT($C$22,"0%")&amp;")")))</f>
        <v/>
      </c>
      <c r="J31">
        <f>MAX(0,$B$31-$C$11)</f>
        <v/>
      </c>
      <c r="K31">
        <f>$C$14*$J$31</f>
        <v/>
      </c>
      <c r="L31">
        <f>$B$31-$K$31</f>
        <v/>
      </c>
      <c r="M31">
        <f>MIN($L$31,$C$5)</f>
        <v/>
      </c>
      <c r="N31">
        <f>MAX(0,$L$31-$C$5)</f>
        <v/>
      </c>
      <c r="O31">
        <f>MIN($N$31,$C$25)</f>
        <v/>
      </c>
      <c r="P31">
        <f>MAX(0,$N$31-$O$31)</f>
        <v/>
      </c>
      <c r="Q31">
        <f>MAX(0,$C$26-$M$31-$O$31)</f>
        <v/>
      </c>
      <c r="R31">
        <f>IF($C$19&lt;1,$Q$31/(1-$C$19),0)</f>
        <v/>
      </c>
      <c r="S31">
        <f>MIN($P$31,$R$31)</f>
        <v/>
      </c>
      <c r="T31">
        <f>(1-$C$19)*$S$31</f>
        <v/>
      </c>
      <c r="U31">
        <f>$C$19*$S$31</f>
        <v/>
      </c>
      <c r="V31">
        <f>MAX(0,$P$31-$S$31)</f>
        <v/>
      </c>
      <c r="W31">
        <f>$C$21*$N$31</f>
        <v/>
      </c>
      <c r="X31">
        <f>MAX(0,$W$31-$U$31)</f>
        <v/>
      </c>
      <c r="Y31">
        <f>MIN($V$31,$X$31)</f>
        <v/>
      </c>
      <c r="Z31">
        <f>MAX(0,$V$31-$Y$31)</f>
        <v/>
      </c>
      <c r="AA31">
        <f>(1-$C$22)*$Z$31</f>
        <v/>
      </c>
      <c r="AB31">
        <f>$C$22*$Z$31</f>
        <v/>
      </c>
    </row>
    <row r="32" ht="18" customHeight="1">
      <c r="A32" s="13" t="n">
        <v>2</v>
      </c>
      <c r="B32" s="19">
        <f>$A$32*$C$5</f>
        <v/>
      </c>
      <c r="C32" s="20">
        <f>$D$32/$C$5</f>
        <v/>
      </c>
      <c r="D32" s="21">
        <f>$M$32+$O$32+$T$32+$AA$32</f>
        <v/>
      </c>
      <c r="E32" s="19">
        <f>$C$10</f>
        <v/>
      </c>
      <c r="F32" s="19">
        <f>$K$32</f>
        <v/>
      </c>
      <c r="G32" s="19">
        <f>$U$32+$Y$32+$AB$32</f>
        <v/>
      </c>
      <c r="H32" s="22">
        <f>$E32+$F32+$G$32</f>
        <v/>
      </c>
      <c r="I32" s="23">
        <f>IF($L$32&lt;$C$5,"Loss / below capital",IF($P$32&lt;=$R$32,"Pre-DPI ("&amp;TEXT((1-$C$19),"0%")&amp;"/"&amp;TEXT($C$19,"0%")&amp;")",IF($V$32&lt;$X$32,"Catch-up (in progress)","Post catch-up ("&amp;TEXT((1-$C$22),"0%")&amp;"/"&amp;TEXT($C$22,"0%")&amp;")")))</f>
        <v/>
      </c>
      <c r="J32">
        <f>MAX(0,$B$32-$C$11)</f>
        <v/>
      </c>
      <c r="K32">
        <f>$C$14*$J$32</f>
        <v/>
      </c>
      <c r="L32">
        <f>$B$32-$K$32</f>
        <v/>
      </c>
      <c r="M32">
        <f>MIN($L$32,$C$5)</f>
        <v/>
      </c>
      <c r="N32">
        <f>MAX(0,$L$32-$C$5)</f>
        <v/>
      </c>
      <c r="O32">
        <f>MIN($N$32,$C$25)</f>
        <v/>
      </c>
      <c r="P32">
        <f>MAX(0,$N$32-$O$32)</f>
        <v/>
      </c>
      <c r="Q32">
        <f>MAX(0,$C$26-$M$32-$O$32)</f>
        <v/>
      </c>
      <c r="R32">
        <f>IF($C$19&lt;1,$Q$32/(1-$C$19),0)</f>
        <v/>
      </c>
      <c r="S32">
        <f>MIN($P$32,$R$32)</f>
        <v/>
      </c>
      <c r="T32">
        <f>(1-$C$19)*$S$32</f>
        <v/>
      </c>
      <c r="U32">
        <f>$C$19*$S$32</f>
        <v/>
      </c>
      <c r="V32">
        <f>MAX(0,$P$32-$S$32)</f>
        <v/>
      </c>
      <c r="W32">
        <f>$C$21*$N$32</f>
        <v/>
      </c>
      <c r="X32">
        <f>MAX(0,$W$32-$U$32)</f>
        <v/>
      </c>
      <c r="Y32">
        <f>MIN($V$32,$X$32)</f>
        <v/>
      </c>
      <c r="Z32">
        <f>MAX(0,$V$32-$Y$32)</f>
        <v/>
      </c>
      <c r="AA32">
        <f>(1-$C$22)*$Z$32</f>
        <v/>
      </c>
      <c r="AB32">
        <f>$C$22*$Z$32</f>
        <v/>
      </c>
    </row>
    <row r="33" ht="18" customHeight="1">
      <c r="A33" s="13" t="n">
        <v>3</v>
      </c>
      <c r="B33" s="14">
        <f>$A$33*$C$5</f>
        <v/>
      </c>
      <c r="C33" s="15">
        <f>$D$33/$C$5</f>
        <v/>
      </c>
      <c r="D33" s="16">
        <f>$M$33+$O$33+$T$33+$AA$33</f>
        <v/>
      </c>
      <c r="E33" s="14">
        <f>$C$10</f>
        <v/>
      </c>
      <c r="F33" s="14">
        <f>$K$33</f>
        <v/>
      </c>
      <c r="G33" s="14">
        <f>$U$33+$Y$33+$AB$33</f>
        <v/>
      </c>
      <c r="H33" s="17">
        <f>$E33+$F33+$G$33</f>
        <v/>
      </c>
      <c r="I33" s="18">
        <f>IF($L$33&lt;$C$5,"Loss / below capital",IF($P$33&lt;=$R$33,"Pre-DPI ("&amp;TEXT((1-$C$19),"0%")&amp;"/"&amp;TEXT($C$19,"0%")&amp;")",IF($V$33&lt;$X$33,"Catch-up (in progress)","Post catch-up ("&amp;TEXT((1-$C$22),"0%")&amp;"/"&amp;TEXT($C$22,"0%")&amp;")")))</f>
        <v/>
      </c>
      <c r="J33">
        <f>MAX(0,$B$33-$C$11)</f>
        <v/>
      </c>
      <c r="K33">
        <f>$C$14*$J$33</f>
        <v/>
      </c>
      <c r="L33">
        <f>$B$33-$K$33</f>
        <v/>
      </c>
      <c r="M33">
        <f>MIN($L$33,$C$5)</f>
        <v/>
      </c>
      <c r="N33">
        <f>MAX(0,$L$33-$C$5)</f>
        <v/>
      </c>
      <c r="O33">
        <f>MIN($N$33,$C$25)</f>
        <v/>
      </c>
      <c r="P33">
        <f>MAX(0,$N$33-$O$33)</f>
        <v/>
      </c>
      <c r="Q33">
        <f>MAX(0,$C$26-$M$33-$O$33)</f>
        <v/>
      </c>
      <c r="R33">
        <f>IF($C$19&lt;1,$Q$33/(1-$C$19),0)</f>
        <v/>
      </c>
      <c r="S33">
        <f>MIN($P$33,$R$33)</f>
        <v/>
      </c>
      <c r="T33">
        <f>(1-$C$19)*$S$33</f>
        <v/>
      </c>
      <c r="U33">
        <f>$C$19*$S$33</f>
        <v/>
      </c>
      <c r="V33">
        <f>MAX(0,$P$33-$S$33)</f>
        <v/>
      </c>
      <c r="W33">
        <f>$C$21*$N$33</f>
        <v/>
      </c>
      <c r="X33">
        <f>MAX(0,$W$33-$U$33)</f>
        <v/>
      </c>
      <c r="Y33">
        <f>MIN($V$33,$X$33)</f>
        <v/>
      </c>
      <c r="Z33">
        <f>MAX(0,$V$33-$Y$33)</f>
        <v/>
      </c>
      <c r="AA33">
        <f>(1-$C$22)*$Z$33</f>
        <v/>
      </c>
      <c r="AB33">
        <f>$C$22*$Z$33</f>
        <v/>
      </c>
    </row>
    <row r="34" ht="18" customHeight="1">
      <c r="A34" s="13" t="n">
        <v>4</v>
      </c>
      <c r="B34" s="19">
        <f>$A$34*$C$5</f>
        <v/>
      </c>
      <c r="C34" s="20">
        <f>$D$34/$C$5</f>
        <v/>
      </c>
      <c r="D34" s="21">
        <f>$M$34+$O$34+$T$34+$AA$34</f>
        <v/>
      </c>
      <c r="E34" s="19">
        <f>$C$10</f>
        <v/>
      </c>
      <c r="F34" s="19">
        <f>$K$34</f>
        <v/>
      </c>
      <c r="G34" s="19">
        <f>$U$34+$Y$34+$AB$34</f>
        <v/>
      </c>
      <c r="H34" s="22">
        <f>$E34+$F34+$G$34</f>
        <v/>
      </c>
      <c r="I34" s="23">
        <f>IF($L$34&lt;$C$5,"Loss / below capital",IF($P$34&lt;=$R$34,"Pre-DPI ("&amp;TEXT((1-$C$19),"0%")&amp;"/"&amp;TEXT($C$19,"0%")&amp;")",IF($V$34&lt;$X$34,"Catch-up (in progress)","Post catch-up ("&amp;TEXT((1-$C$22),"0%")&amp;"/"&amp;TEXT($C$22,"0%")&amp;")")))</f>
        <v/>
      </c>
      <c r="J34">
        <f>MAX(0,$B$34-$C$11)</f>
        <v/>
      </c>
      <c r="K34">
        <f>$C$14*$J$34</f>
        <v/>
      </c>
      <c r="L34">
        <f>$B$34-$K$34</f>
        <v/>
      </c>
      <c r="M34">
        <f>MIN($L$34,$C$5)</f>
        <v/>
      </c>
      <c r="N34">
        <f>MAX(0,$L$34-$C$5)</f>
        <v/>
      </c>
      <c r="O34">
        <f>MIN($N$34,$C$25)</f>
        <v/>
      </c>
      <c r="P34">
        <f>MAX(0,$N$34-$O$34)</f>
        <v/>
      </c>
      <c r="Q34">
        <f>MAX(0,$C$26-$M$34-$O$34)</f>
        <v/>
      </c>
      <c r="R34">
        <f>IF($C$19&lt;1,$Q$34/(1-$C$19),0)</f>
        <v/>
      </c>
      <c r="S34">
        <f>MIN($P$34,$R$34)</f>
        <v/>
      </c>
      <c r="T34">
        <f>(1-$C$19)*$S$34</f>
        <v/>
      </c>
      <c r="U34">
        <f>$C$19*$S$34</f>
        <v/>
      </c>
      <c r="V34">
        <f>MAX(0,$P$34-$S$34)</f>
        <v/>
      </c>
      <c r="W34">
        <f>$C$21*$N$34</f>
        <v/>
      </c>
      <c r="X34">
        <f>MAX(0,$W$34-$U$34)</f>
        <v/>
      </c>
      <c r="Y34">
        <f>MIN($V$34,$X$34)</f>
        <v/>
      </c>
      <c r="Z34">
        <f>MAX(0,$V$34-$Y$34)</f>
        <v/>
      </c>
      <c r="AA34">
        <f>(1-$C$22)*$Z$34</f>
        <v/>
      </c>
      <c r="AB34">
        <f>$C$22*$Z$34</f>
        <v/>
      </c>
    </row>
    <row r="35" ht="18" customHeight="1">
      <c r="A35" s="13" t="n">
        <v>5</v>
      </c>
      <c r="B35" s="14">
        <f>$A$35*$C$5</f>
        <v/>
      </c>
      <c r="C35" s="15">
        <f>$D$35/$C$5</f>
        <v/>
      </c>
      <c r="D35" s="16">
        <f>$M$35+$O$35+$T$35+$AA$35</f>
        <v/>
      </c>
      <c r="E35" s="14">
        <f>$C$10</f>
        <v/>
      </c>
      <c r="F35" s="14">
        <f>$K$35</f>
        <v/>
      </c>
      <c r="G35" s="14">
        <f>$U$35+$Y$35+$AB$35</f>
        <v/>
      </c>
      <c r="H35" s="17">
        <f>$E35+$F35+$G$35</f>
        <v/>
      </c>
      <c r="I35" s="18">
        <f>IF($L$35&lt;$C$5,"Loss / below capital",IF($P$35&lt;=$R$35,"Pre-DPI ("&amp;TEXT((1-$C$19),"0%")&amp;"/"&amp;TEXT($C$19,"0%")&amp;")",IF($V$35&lt;$X$35,"Catch-up (in progress)","Post catch-up ("&amp;TEXT((1-$C$22),"0%")&amp;"/"&amp;TEXT($C$22,"0%")&amp;")")))</f>
        <v/>
      </c>
      <c r="J35">
        <f>MAX(0,$B$35-$C$11)</f>
        <v/>
      </c>
      <c r="K35">
        <f>$C$14*$J$35</f>
        <v/>
      </c>
      <c r="L35">
        <f>$B$35-$K$35</f>
        <v/>
      </c>
      <c r="M35">
        <f>MIN($L$35,$C$5)</f>
        <v/>
      </c>
      <c r="N35">
        <f>MAX(0,$L$35-$C$5)</f>
        <v/>
      </c>
      <c r="O35">
        <f>MIN($N$35,$C$25)</f>
        <v/>
      </c>
      <c r="P35">
        <f>MAX(0,$N$35-$O$35)</f>
        <v/>
      </c>
      <c r="Q35">
        <f>MAX(0,$C$26-$M$35-$O$35)</f>
        <v/>
      </c>
      <c r="R35">
        <f>IF($C$19&lt;1,$Q$35/(1-$C$19),0)</f>
        <v/>
      </c>
      <c r="S35">
        <f>MIN($P$35,$R$35)</f>
        <v/>
      </c>
      <c r="T35">
        <f>(1-$C$19)*$S$35</f>
        <v/>
      </c>
      <c r="U35">
        <f>$C$19*$S$35</f>
        <v/>
      </c>
      <c r="V35">
        <f>MAX(0,$P$35-$S$35)</f>
        <v/>
      </c>
      <c r="W35">
        <f>$C$21*$N$35</f>
        <v/>
      </c>
      <c r="X35">
        <f>MAX(0,$W$35-$U$35)</f>
        <v/>
      </c>
      <c r="Y35">
        <f>MIN($V$35,$X$35)</f>
        <v/>
      </c>
      <c r="Z35">
        <f>MAX(0,$V$35-$Y$35)</f>
        <v/>
      </c>
      <c r="AA35">
        <f>(1-$C$22)*$Z$35</f>
        <v/>
      </c>
      <c r="AB35">
        <f>$C$22*$Z$35</f>
        <v/>
      </c>
    </row>
    <row r="36" ht="18" customHeight="1">
      <c r="A36" s="13" t="n">
        <v>6</v>
      </c>
      <c r="B36" s="19">
        <f>$A$36*$C$5</f>
        <v/>
      </c>
      <c r="C36" s="20">
        <f>$D$36/$C$5</f>
        <v/>
      </c>
      <c r="D36" s="21">
        <f>$M$36+$O$36+$T$36+$AA$36</f>
        <v/>
      </c>
      <c r="E36" s="19">
        <f>$C$10</f>
        <v/>
      </c>
      <c r="F36" s="19">
        <f>$K$36</f>
        <v/>
      </c>
      <c r="G36" s="19">
        <f>$U$36+$Y$36+$AB$36</f>
        <v/>
      </c>
      <c r="H36" s="22">
        <f>$E36+$F36+$G$36</f>
        <v/>
      </c>
      <c r="I36" s="23">
        <f>IF($L$36&lt;$C$5,"Loss / below capital",IF($P$36&lt;=$R$36,"Pre-DPI ("&amp;TEXT((1-$C$19),"0%")&amp;"/"&amp;TEXT($C$19,"0%")&amp;")",IF($V$36&lt;$X$36,"Catch-up (in progress)","Post catch-up ("&amp;TEXT((1-$C$22),"0%")&amp;"/"&amp;TEXT($C$22,"0%")&amp;")")))</f>
        <v/>
      </c>
      <c r="J36">
        <f>MAX(0,$B$36-$C$11)</f>
        <v/>
      </c>
      <c r="K36">
        <f>$C$14*$J$36</f>
        <v/>
      </c>
      <c r="L36">
        <f>$B$36-$K$36</f>
        <v/>
      </c>
      <c r="M36">
        <f>MIN($L$36,$C$5)</f>
        <v/>
      </c>
      <c r="N36">
        <f>MAX(0,$L$36-$C$5)</f>
        <v/>
      </c>
      <c r="O36">
        <f>MIN($N$36,$C$25)</f>
        <v/>
      </c>
      <c r="P36">
        <f>MAX(0,$N$36-$O$36)</f>
        <v/>
      </c>
      <c r="Q36">
        <f>MAX(0,$C$26-$M$36-$O$36)</f>
        <v/>
      </c>
      <c r="R36">
        <f>IF($C$19&lt;1,$Q$36/(1-$C$19),0)</f>
        <v/>
      </c>
      <c r="S36">
        <f>MIN($P$36,$R$36)</f>
        <v/>
      </c>
      <c r="T36">
        <f>(1-$C$19)*$S$36</f>
        <v/>
      </c>
      <c r="U36">
        <f>$C$19*$S$36</f>
        <v/>
      </c>
      <c r="V36">
        <f>MAX(0,$P$36-$S$36)</f>
        <v/>
      </c>
      <c r="W36">
        <f>$C$21*$N$36</f>
        <v/>
      </c>
      <c r="X36">
        <f>MAX(0,$W$36-$U$36)</f>
        <v/>
      </c>
      <c r="Y36">
        <f>MIN($V$36,$X$36)</f>
        <v/>
      </c>
      <c r="Z36">
        <f>MAX(0,$V$36-$Y$36)</f>
        <v/>
      </c>
      <c r="AA36">
        <f>(1-$C$22)*$Z$36</f>
        <v/>
      </c>
      <c r="AB36">
        <f>$C$22*$Z$36</f>
        <v/>
      </c>
    </row>
    <row r="37" ht="18" customHeight="1">
      <c r="A37" s="13" t="n">
        <v>7</v>
      </c>
      <c r="B37" s="14">
        <f>$A$37*$C$5</f>
        <v/>
      </c>
      <c r="C37" s="15">
        <f>$D$37/$C$5</f>
        <v/>
      </c>
      <c r="D37" s="16">
        <f>$M$37+$O$37+$T$37+$AA$37</f>
        <v/>
      </c>
      <c r="E37" s="14">
        <f>$C$10</f>
        <v/>
      </c>
      <c r="F37" s="14">
        <f>$K$37</f>
        <v/>
      </c>
      <c r="G37" s="14">
        <f>$U$37+$Y$37+$AB$37</f>
        <v/>
      </c>
      <c r="H37" s="17">
        <f>$E37+$F37+$G$37</f>
        <v/>
      </c>
      <c r="I37" s="18">
        <f>IF($L$37&lt;$C$5,"Loss / below capital",IF($P$37&lt;=$R$37,"Pre-DPI ("&amp;TEXT((1-$C$19),"0%")&amp;"/"&amp;TEXT($C$19,"0%")&amp;")",IF($V$37&lt;$X$37,"Catch-up (in progress)","Post catch-up ("&amp;TEXT((1-$C$22),"0%")&amp;"/"&amp;TEXT($C$22,"0%")&amp;")")))</f>
        <v/>
      </c>
      <c r="J37">
        <f>MAX(0,$B$37-$C$11)</f>
        <v/>
      </c>
      <c r="K37">
        <f>$C$14*$J$37</f>
        <v/>
      </c>
      <c r="L37">
        <f>$B$37-$K$37</f>
        <v/>
      </c>
      <c r="M37">
        <f>MIN($L$37,$C$5)</f>
        <v/>
      </c>
      <c r="N37">
        <f>MAX(0,$L$37-$C$5)</f>
        <v/>
      </c>
      <c r="O37">
        <f>MIN($N$37,$C$25)</f>
        <v/>
      </c>
      <c r="P37">
        <f>MAX(0,$N$37-$O$37)</f>
        <v/>
      </c>
      <c r="Q37">
        <f>MAX(0,$C$26-$M$37-$O$37)</f>
        <v/>
      </c>
      <c r="R37">
        <f>IF($C$19&lt;1,$Q$37/(1-$C$19),0)</f>
        <v/>
      </c>
      <c r="S37">
        <f>MIN($P$37,$R$37)</f>
        <v/>
      </c>
      <c r="T37">
        <f>(1-$C$19)*$S$37</f>
        <v/>
      </c>
      <c r="U37">
        <f>$C$19*$S$37</f>
        <v/>
      </c>
      <c r="V37">
        <f>MAX(0,$P$37-$S$37)</f>
        <v/>
      </c>
      <c r="W37">
        <f>$C$21*$N$37</f>
        <v/>
      </c>
      <c r="X37">
        <f>MAX(0,$W$37-$U$37)</f>
        <v/>
      </c>
      <c r="Y37">
        <f>MIN($V$37,$X$37)</f>
        <v/>
      </c>
      <c r="Z37">
        <f>MAX(0,$V$37-$Y$37)</f>
        <v/>
      </c>
      <c r="AA37">
        <f>(1-$C$22)*$Z$37</f>
        <v/>
      </c>
      <c r="AB37">
        <f>$C$22*$Z$37</f>
        <v/>
      </c>
    </row>
    <row r="38" ht="4" customHeight="1"/>
    <row r="39" ht="16" customHeight="1">
      <c r="A39" s="9" t="inlineStr">
        <is>
          <t xml:space="preserve">  NOTES</t>
        </is>
      </c>
    </row>
    <row r="40" ht="15" customHeight="1">
      <c r="A40" s="24" t="inlineStr">
        <is>
          <t>Gross MOIC: measured on committed capital.  LP returns also on committed capital.</t>
        </is>
      </c>
    </row>
    <row r="41" ht="15" customHeight="1">
      <c r="A41" s="24" t="inlineStr">
        <is>
          <t>Mgmt Fee: 1.5% p.a. × fund life, charged on committed capital.  Invested = Committed − Mgmt Fees.</t>
        </is>
      </c>
    </row>
    <row r="42" ht="15" customHeight="1">
      <c r="A42" s="24" t="inlineStr">
        <is>
          <t>Placement Fee: taken off gross portfolio profit (Gross Proceeds − Invested Capital) before the carry waterfall.</t>
        </is>
      </c>
    </row>
    <row r="43" ht="15" customHeight="1">
      <c r="A43" s="24" t="inlineStr">
        <is>
          <t>Preferred Return: compound annual hurdle on committed capital.  LP receives full pref before any carry splits.</t>
        </is>
      </c>
    </row>
    <row r="44" ht="15" customHeight="1">
      <c r="A44" s="24" t="inlineStr">
        <is>
          <t>Catch-up base: GP target carry % applied to ALL profit above return of capital (including the pref return amount).</t>
        </is>
      </c>
    </row>
    <row r="45" ht="15" customHeight="1">
      <c r="A45" s="24" t="inlineStr">
        <is>
          <t>DPI Threshold: once LP cumulative distributions (capital + pref + pre-DPI profit) reach Threshold × Committed,</t>
        </is>
      </c>
    </row>
    <row r="46" ht="15" customHeight="1">
      <c r="A46" s="25" t="inlineStr">
        <is>
          <t xml:space="preserve">  the catch-up kicks in.  During catch-up, 100% flows to GP until they reach the Catch-up Target GP %.</t>
        </is>
      </c>
    </row>
    <row r="47" ht="15" customHeight="1">
      <c r="A47" s="24" t="inlineStr">
        <is>
          <t>Yellow cells  = editable inputs.  Grey cells = derived.  Working columns (J onward) are hidden.</t>
        </is>
      </c>
    </row>
  </sheetData>
  <mergeCells count="17">
    <mergeCell ref="B13:C13"/>
    <mergeCell ref="A29:I29"/>
    <mergeCell ref="B24:C24"/>
    <mergeCell ref="B16:C16"/>
    <mergeCell ref="A41:I41"/>
    <mergeCell ref="A43:I43"/>
    <mergeCell ref="A47:I47"/>
    <mergeCell ref="A42:I42"/>
    <mergeCell ref="A46:I46"/>
    <mergeCell ref="B2:I2"/>
    <mergeCell ref="A44:I44"/>
    <mergeCell ref="A45:I45"/>
    <mergeCell ref="A40:I40"/>
    <mergeCell ref="A39:I39"/>
    <mergeCell ref="B17:C17"/>
    <mergeCell ref="B8:C8"/>
    <mergeCell ref="B4:C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2026-04-30T13:36:47Z</dcterms:created>
  <dcterms:modified xsi:type="dcterms:W3CDTF">2026-04-30T13:36:47Z</dcterms:modified>
</cp:coreProperties>
</file>